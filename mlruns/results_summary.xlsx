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dh\Desktop\"/>
    </mc:Choice>
  </mc:AlternateContent>
  <xr:revisionPtr revIDLastSave="0" documentId="13_ncr:1_{783F0D9F-7891-4DB3-BA7C-E1BC6EF51EBE}" xr6:coauthVersionLast="47" xr6:coauthVersionMax="47" xr10:uidLastSave="{00000000-0000-0000-0000-000000000000}"/>
  <bookViews>
    <workbookView xWindow="22932" yWindow="-108" windowWidth="23256" windowHeight="12576" tabRatio="836" activeTab="5" xr2:uid="{4F7FE362-1C20-49FD-9081-C95FABC77E94}"/>
  </bookViews>
  <sheets>
    <sheet name="Model Description" sheetId="1" r:id="rId1"/>
    <sheet name="Best Hyperparameters" sheetId="3" r:id="rId2"/>
    <sheet name="Validation" sheetId="2" r:id="rId3"/>
    <sheet name="Test" sheetId="4" r:id="rId4"/>
    <sheet name="RMSPE" sheetId="6" r:id="rId5"/>
    <sheet name="Wilcoxon rank-sum test for SE" sheetId="10" r:id="rId6"/>
    <sheet name="MAPE" sheetId="7" r:id="rId7"/>
    <sheet name="Accuracy" sheetId="8" r:id="rId8"/>
    <sheet name="Precision" sheetId="9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0" l="1"/>
  <c r="D11" i="10"/>
  <c r="E11" i="10"/>
  <c r="F11" i="10"/>
  <c r="G11" i="10"/>
  <c r="H11" i="10"/>
  <c r="I11" i="10"/>
  <c r="C12" i="10"/>
  <c r="D12" i="10"/>
  <c r="E12" i="10"/>
  <c r="F12" i="10"/>
  <c r="G12" i="10"/>
  <c r="H12" i="10"/>
  <c r="I12" i="10"/>
  <c r="C13" i="10"/>
  <c r="D13" i="10"/>
  <c r="E13" i="10"/>
  <c r="F13" i="10"/>
  <c r="G13" i="10"/>
  <c r="H13" i="10"/>
  <c r="I13" i="10"/>
  <c r="C14" i="10"/>
  <c r="D14" i="10"/>
  <c r="E14" i="10"/>
  <c r="F14" i="10"/>
  <c r="G14" i="10"/>
  <c r="H14" i="10"/>
  <c r="I14" i="10"/>
  <c r="C15" i="10"/>
  <c r="D15" i="10"/>
  <c r="E15" i="10"/>
  <c r="F15" i="10"/>
  <c r="G15" i="10"/>
  <c r="H15" i="10"/>
  <c r="I15" i="10"/>
  <c r="D10" i="10"/>
  <c r="E10" i="10"/>
  <c r="F10" i="10"/>
  <c r="G10" i="10"/>
  <c r="H10" i="10"/>
  <c r="I10" i="10"/>
  <c r="C10" i="10"/>
  <c r="I7" i="10"/>
  <c r="I6" i="10"/>
  <c r="I5" i="10"/>
  <c r="I4" i="10"/>
  <c r="I3" i="10"/>
  <c r="I2" i="10"/>
  <c r="H7" i="10"/>
  <c r="H6" i="10"/>
  <c r="H5" i="10"/>
  <c r="H4" i="10"/>
  <c r="H3" i="10"/>
  <c r="H2" i="10"/>
  <c r="G7" i="10"/>
  <c r="G6" i="10"/>
  <c r="G5" i="10"/>
  <c r="G4" i="10"/>
  <c r="G3" i="10"/>
  <c r="G2" i="10"/>
  <c r="F7" i="10"/>
  <c r="F6" i="10"/>
  <c r="F5" i="10"/>
  <c r="F4" i="10"/>
  <c r="F3" i="10"/>
  <c r="F2" i="10"/>
  <c r="E7" i="10"/>
  <c r="E6" i="10"/>
  <c r="E5" i="10"/>
  <c r="E4" i="10"/>
  <c r="E3" i="10"/>
  <c r="E2" i="10"/>
  <c r="D7" i="10"/>
  <c r="D6" i="10"/>
  <c r="D5" i="10"/>
  <c r="D4" i="10"/>
  <c r="D3" i="10"/>
  <c r="D2" i="10"/>
  <c r="C7" i="10"/>
  <c r="C6" i="10"/>
  <c r="C5" i="10"/>
  <c r="C4" i="10"/>
  <c r="C3" i="10"/>
  <c r="C2" i="10"/>
</calcChain>
</file>

<file path=xl/sharedStrings.xml><?xml version="1.0" encoding="utf-8"?>
<sst xmlns="http://schemas.openxmlformats.org/spreadsheetml/2006/main" count="155" uniqueCount="43">
  <si>
    <t>ETH Price</t>
  </si>
  <si>
    <t>ETH Blockchain Features</t>
  </si>
  <si>
    <t>BTC Blockchain Features (Inc BTC Price)</t>
  </si>
  <si>
    <t>LTC Blockchain Features (Inc LTC Price)</t>
  </si>
  <si>
    <t>VADER Average Score and Average Sentiment</t>
  </si>
  <si>
    <t>FinBERT Average Score and Average Sentiment</t>
  </si>
  <si>
    <t>CryptoBERT Average Score and Average Sentiment</t>
  </si>
  <si>
    <t>x</t>
  </si>
  <si>
    <t>Models</t>
  </si>
  <si>
    <t>ARIMA</t>
  </si>
  <si>
    <t>RMSE</t>
  </si>
  <si>
    <t>RMSPE</t>
  </si>
  <si>
    <t>MAE</t>
  </si>
  <si>
    <t>MAPE</t>
  </si>
  <si>
    <t>Accuracy</t>
  </si>
  <si>
    <t>Precision</t>
  </si>
  <si>
    <t>XGBoost</t>
  </si>
  <si>
    <t>BiGRU</t>
  </si>
  <si>
    <t>1DCNN-BiGRU</t>
  </si>
  <si>
    <t>-</t>
  </si>
  <si>
    <t>Time</t>
  </si>
  <si>
    <t>Metric</t>
  </si>
  <si>
    <t>p</t>
  </si>
  <si>
    <t>d</t>
  </si>
  <si>
    <t>q</t>
  </si>
  <si>
    <t>lags</t>
  </si>
  <si>
    <t>Nest</t>
  </si>
  <si>
    <t>lambda</t>
  </si>
  <si>
    <t>alpha</t>
  </si>
  <si>
    <t>gamma</t>
  </si>
  <si>
    <t>N</t>
  </si>
  <si>
    <t>U</t>
  </si>
  <si>
    <t>D</t>
  </si>
  <si>
    <t>B</t>
  </si>
  <si>
    <t>eta</t>
  </si>
  <si>
    <t>E</t>
  </si>
  <si>
    <t>k</t>
  </si>
  <si>
    <t>Pmax</t>
  </si>
  <si>
    <t>Model</t>
  </si>
  <si>
    <t>Hyperparameter</t>
  </si>
  <si>
    <t>Model 1</t>
  </si>
  <si>
    <t>Model 2</t>
  </si>
  <si>
    <t>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</si>
</sst>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05687-9B2B-463B-87F1-2B26444DA47D}">
  <dimension ref="A1:H8"/>
  <sheetViews>
    <sheetView workbookViewId="0">
      <selection activeCell="D24" sqref="D24"/>
    </sheetView>
  </sheetViews>
  <sheetFormatPr defaultRowHeight="14.4" x14ac:dyDescent="0.3"/>
  <cols>
    <col min="1" max="1" width="41.44140625" bestFit="1" customWidth="1"/>
  </cols>
  <sheetData>
    <row r="1" spans="1:8" x14ac:dyDescent="0.3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</row>
    <row r="2" spans="1:8" x14ac:dyDescent="0.3">
      <c r="A2" t="s">
        <v>0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</row>
    <row r="3" spans="1:8" x14ac:dyDescent="0.3">
      <c r="A3" t="s">
        <v>1</v>
      </c>
      <c r="C3" t="s">
        <v>7</v>
      </c>
    </row>
    <row r="4" spans="1:8" x14ac:dyDescent="0.3">
      <c r="A4" t="s">
        <v>2</v>
      </c>
      <c r="D4" t="s">
        <v>7</v>
      </c>
    </row>
    <row r="5" spans="1:8" x14ac:dyDescent="0.3">
      <c r="A5" t="s">
        <v>3</v>
      </c>
      <c r="E5" t="s">
        <v>7</v>
      </c>
    </row>
    <row r="6" spans="1:8" x14ac:dyDescent="0.3">
      <c r="A6" t="s">
        <v>4</v>
      </c>
      <c r="F6" t="s">
        <v>7</v>
      </c>
    </row>
    <row r="7" spans="1:8" x14ac:dyDescent="0.3">
      <c r="A7" t="s">
        <v>5</v>
      </c>
      <c r="G7" t="s">
        <v>7</v>
      </c>
    </row>
    <row r="8" spans="1:8" x14ac:dyDescent="0.3">
      <c r="A8" t="s">
        <v>6</v>
      </c>
      <c r="H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AFF1-3F9D-45B6-BF37-B2D4B7D10889}">
  <dimension ref="A1:I21"/>
  <sheetViews>
    <sheetView workbookViewId="0">
      <selection activeCell="H17" sqref="H17"/>
    </sheetView>
  </sheetViews>
  <sheetFormatPr defaultRowHeight="14.4" x14ac:dyDescent="0.3"/>
  <cols>
    <col min="1" max="1" width="13.109375" bestFit="1" customWidth="1"/>
    <col min="2" max="2" width="14.33203125" bestFit="1" customWidth="1"/>
  </cols>
  <sheetData>
    <row r="1" spans="1:9" x14ac:dyDescent="0.3">
      <c r="A1" t="s">
        <v>38</v>
      </c>
      <c r="B1" t="s">
        <v>39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</row>
    <row r="2" spans="1:9" x14ac:dyDescent="0.3">
      <c r="A2" t="s">
        <v>9</v>
      </c>
      <c r="B2" t="s">
        <v>22</v>
      </c>
      <c r="C2">
        <v>1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</row>
    <row r="3" spans="1:9" x14ac:dyDescent="0.3">
      <c r="B3" t="s">
        <v>23</v>
      </c>
      <c r="C3">
        <v>1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</row>
    <row r="4" spans="1:9" x14ac:dyDescent="0.3">
      <c r="B4" t="s">
        <v>24</v>
      </c>
      <c r="C4">
        <v>1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</row>
    <row r="5" spans="1:9" x14ac:dyDescent="0.3">
      <c r="A5" t="s">
        <v>16</v>
      </c>
      <c r="B5" t="s">
        <v>25</v>
      </c>
      <c r="C5">
        <v>7</v>
      </c>
      <c r="D5">
        <v>21</v>
      </c>
    </row>
    <row r="6" spans="1:9" x14ac:dyDescent="0.3">
      <c r="B6" t="s">
        <v>26</v>
      </c>
      <c r="C6">
        <v>200</v>
      </c>
      <c r="D6">
        <v>200</v>
      </c>
      <c r="E6">
        <v>200</v>
      </c>
      <c r="F6">
        <v>200</v>
      </c>
      <c r="G6">
        <v>200</v>
      </c>
      <c r="H6">
        <v>200</v>
      </c>
      <c r="I6">
        <v>200</v>
      </c>
    </row>
    <row r="7" spans="1:9" x14ac:dyDescent="0.3">
      <c r="B7" t="s">
        <v>27</v>
      </c>
      <c r="C7">
        <v>4</v>
      </c>
      <c r="D7">
        <v>3</v>
      </c>
      <c r="E7">
        <v>2</v>
      </c>
      <c r="F7">
        <v>3</v>
      </c>
      <c r="G7">
        <v>4</v>
      </c>
      <c r="H7">
        <v>4</v>
      </c>
      <c r="I7">
        <v>4</v>
      </c>
    </row>
    <row r="8" spans="1:9" x14ac:dyDescent="0.3">
      <c r="B8" t="s">
        <v>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B9" t="s">
        <v>29</v>
      </c>
      <c r="C9">
        <v>2</v>
      </c>
      <c r="D9">
        <v>2</v>
      </c>
      <c r="E9">
        <v>3</v>
      </c>
      <c r="F9">
        <v>2</v>
      </c>
      <c r="G9">
        <v>2</v>
      </c>
      <c r="H9">
        <v>2</v>
      </c>
      <c r="I9">
        <v>2</v>
      </c>
    </row>
    <row r="10" spans="1:9" x14ac:dyDescent="0.3">
      <c r="A10" t="s">
        <v>17</v>
      </c>
      <c r="B10" t="s">
        <v>25</v>
      </c>
      <c r="C10">
        <v>14</v>
      </c>
      <c r="D10">
        <v>7</v>
      </c>
      <c r="E10">
        <v>7</v>
      </c>
      <c r="F10">
        <v>14</v>
      </c>
      <c r="G10">
        <v>14</v>
      </c>
      <c r="H10">
        <v>21</v>
      </c>
      <c r="I10">
        <v>14</v>
      </c>
    </row>
    <row r="11" spans="1:9" x14ac:dyDescent="0.3">
      <c r="B11" t="s">
        <v>30</v>
      </c>
      <c r="C11">
        <v>3</v>
      </c>
      <c r="D11">
        <v>2</v>
      </c>
      <c r="E11">
        <v>2</v>
      </c>
      <c r="F11">
        <v>2</v>
      </c>
      <c r="G11">
        <v>3</v>
      </c>
      <c r="H11">
        <v>2</v>
      </c>
      <c r="I11">
        <v>2</v>
      </c>
    </row>
    <row r="12" spans="1:9" x14ac:dyDescent="0.3">
      <c r="B12" t="s">
        <v>31</v>
      </c>
      <c r="C12">
        <v>32</v>
      </c>
      <c r="D12">
        <v>64</v>
      </c>
      <c r="E12">
        <v>32</v>
      </c>
      <c r="F12">
        <v>32</v>
      </c>
      <c r="G12">
        <v>32</v>
      </c>
      <c r="H12">
        <v>32</v>
      </c>
      <c r="I12">
        <v>32</v>
      </c>
    </row>
    <row r="13" spans="1:9" x14ac:dyDescent="0.3">
      <c r="B13" t="s">
        <v>32</v>
      </c>
      <c r="C13">
        <v>0.05</v>
      </c>
      <c r="D13">
        <v>0.1</v>
      </c>
      <c r="E13">
        <v>0</v>
      </c>
      <c r="F13">
        <v>0.1</v>
      </c>
      <c r="G13">
        <v>0.1</v>
      </c>
      <c r="H13">
        <v>0.05</v>
      </c>
      <c r="I13">
        <v>0.05</v>
      </c>
    </row>
    <row r="14" spans="1:9" x14ac:dyDescent="0.3">
      <c r="B14" t="s">
        <v>33</v>
      </c>
      <c r="C14">
        <v>32</v>
      </c>
      <c r="D14">
        <v>32</v>
      </c>
      <c r="E14">
        <v>64</v>
      </c>
      <c r="F14">
        <v>32</v>
      </c>
      <c r="G14">
        <v>32</v>
      </c>
      <c r="H14">
        <v>64</v>
      </c>
      <c r="I14">
        <v>32</v>
      </c>
    </row>
    <row r="15" spans="1:9" x14ac:dyDescent="0.3">
      <c r="B15" t="s">
        <v>34</v>
      </c>
      <c r="C15">
        <v>0.01</v>
      </c>
      <c r="D15">
        <v>0.01</v>
      </c>
      <c r="E15">
        <v>1E-3</v>
      </c>
      <c r="F15">
        <v>0.01</v>
      </c>
      <c r="G15">
        <v>0.01</v>
      </c>
      <c r="H15">
        <v>0.01</v>
      </c>
      <c r="I15">
        <v>0.01</v>
      </c>
    </row>
    <row r="16" spans="1:9" x14ac:dyDescent="0.3">
      <c r="B16" t="s">
        <v>35</v>
      </c>
      <c r="C16">
        <v>37</v>
      </c>
      <c r="D16">
        <v>36</v>
      </c>
      <c r="E16">
        <v>37</v>
      </c>
      <c r="F16">
        <v>84</v>
      </c>
      <c r="G16">
        <v>43</v>
      </c>
      <c r="H16">
        <v>42</v>
      </c>
      <c r="I16">
        <v>54</v>
      </c>
    </row>
    <row r="17" spans="1:9" x14ac:dyDescent="0.3">
      <c r="A17" t="s">
        <v>18</v>
      </c>
      <c r="B17" t="s">
        <v>30</v>
      </c>
      <c r="C17">
        <v>1</v>
      </c>
      <c r="D17">
        <v>3</v>
      </c>
      <c r="E17">
        <v>3</v>
      </c>
      <c r="F17">
        <v>1</v>
      </c>
      <c r="G17">
        <v>3</v>
      </c>
      <c r="H17">
        <v>1</v>
      </c>
      <c r="I17">
        <v>1</v>
      </c>
    </row>
    <row r="18" spans="1:9" x14ac:dyDescent="0.3">
      <c r="B18" t="s">
        <v>30</v>
      </c>
      <c r="C18">
        <v>16</v>
      </c>
      <c r="D18">
        <v>16</v>
      </c>
      <c r="E18">
        <v>32</v>
      </c>
      <c r="F18">
        <v>32</v>
      </c>
      <c r="G18">
        <v>16</v>
      </c>
      <c r="H18">
        <v>32</v>
      </c>
      <c r="I18">
        <v>32</v>
      </c>
    </row>
    <row r="19" spans="1:9" x14ac:dyDescent="0.3">
      <c r="B19" t="s">
        <v>36</v>
      </c>
      <c r="C19">
        <v>7</v>
      </c>
      <c r="D19">
        <v>3</v>
      </c>
      <c r="E19">
        <v>7</v>
      </c>
      <c r="F19">
        <v>3</v>
      </c>
      <c r="G19">
        <v>3</v>
      </c>
      <c r="H19">
        <v>3</v>
      </c>
      <c r="I19">
        <v>3</v>
      </c>
    </row>
    <row r="20" spans="1:9" x14ac:dyDescent="0.3">
      <c r="B20" t="s">
        <v>37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1:9" x14ac:dyDescent="0.3">
      <c r="B21" t="s">
        <v>35</v>
      </c>
      <c r="C21">
        <v>67</v>
      </c>
      <c r="D21">
        <v>47</v>
      </c>
      <c r="E21">
        <v>43</v>
      </c>
      <c r="F21">
        <v>79</v>
      </c>
      <c r="G21">
        <v>27</v>
      </c>
      <c r="H21">
        <v>31</v>
      </c>
      <c r="I2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2EF2-4709-4EC7-91E4-8E352C29F328}">
  <dimension ref="A1:I29"/>
  <sheetViews>
    <sheetView topLeftCell="A8" workbookViewId="0">
      <selection activeCell="G28" sqref="G28"/>
    </sheetView>
  </sheetViews>
  <sheetFormatPr defaultRowHeight="14.4" x14ac:dyDescent="0.3"/>
  <cols>
    <col min="1" max="1" width="13.109375" bestFit="1" customWidth="1"/>
  </cols>
  <sheetData>
    <row r="1" spans="1:9" x14ac:dyDescent="0.3">
      <c r="A1" t="s">
        <v>8</v>
      </c>
      <c r="B1" t="s">
        <v>21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</row>
    <row r="2" spans="1:9" x14ac:dyDescent="0.3">
      <c r="A2" t="s">
        <v>9</v>
      </c>
      <c r="B2" t="s">
        <v>10</v>
      </c>
      <c r="C2" s="1">
        <v>75.41</v>
      </c>
    </row>
    <row r="3" spans="1:9" x14ac:dyDescent="0.3">
      <c r="B3" t="s">
        <v>11</v>
      </c>
      <c r="C3" s="1">
        <v>4.1500000000000004</v>
      </c>
    </row>
    <row r="4" spans="1:9" x14ac:dyDescent="0.3">
      <c r="B4" t="s">
        <v>12</v>
      </c>
      <c r="C4" s="1">
        <v>55.99</v>
      </c>
    </row>
    <row r="5" spans="1:9" x14ac:dyDescent="0.3">
      <c r="B5" t="s">
        <v>13</v>
      </c>
      <c r="C5" s="1">
        <v>3.07</v>
      </c>
    </row>
    <row r="6" spans="1:9" x14ac:dyDescent="0.3">
      <c r="B6" t="s">
        <v>14</v>
      </c>
      <c r="C6" s="1">
        <v>50.32</v>
      </c>
    </row>
    <row r="7" spans="1:9" x14ac:dyDescent="0.3">
      <c r="B7" t="s">
        <v>15</v>
      </c>
      <c r="C7" s="1">
        <v>46.77</v>
      </c>
    </row>
    <row r="8" spans="1:9" x14ac:dyDescent="0.3">
      <c r="B8" t="s">
        <v>20</v>
      </c>
      <c r="C8" s="1">
        <v>14.8</v>
      </c>
    </row>
    <row r="9" spans="1:9" x14ac:dyDescent="0.3">
      <c r="A9" t="s">
        <v>16</v>
      </c>
      <c r="B9" t="s">
        <v>10</v>
      </c>
      <c r="C9">
        <v>74.92</v>
      </c>
      <c r="D9" s="1">
        <v>73.739999999999995</v>
      </c>
      <c r="E9">
        <v>78.81</v>
      </c>
      <c r="F9">
        <v>76.77</v>
      </c>
      <c r="G9">
        <v>74.92</v>
      </c>
      <c r="H9">
        <v>74.92</v>
      </c>
      <c r="I9">
        <v>74.92</v>
      </c>
    </row>
    <row r="10" spans="1:9" x14ac:dyDescent="0.3">
      <c r="B10" t="s">
        <v>11</v>
      </c>
      <c r="C10">
        <v>4.18</v>
      </c>
      <c r="D10" s="1">
        <v>4.0599999999999996</v>
      </c>
      <c r="E10">
        <v>4.32</v>
      </c>
      <c r="F10">
        <v>4.2</v>
      </c>
      <c r="G10">
        <v>4.18</v>
      </c>
      <c r="H10">
        <v>4.18</v>
      </c>
      <c r="I10">
        <v>4.18</v>
      </c>
    </row>
    <row r="11" spans="1:9" x14ac:dyDescent="0.3">
      <c r="B11" t="s">
        <v>12</v>
      </c>
      <c r="C11">
        <v>59.48</v>
      </c>
      <c r="D11" s="1">
        <v>56.67</v>
      </c>
      <c r="E11">
        <v>59.18</v>
      </c>
      <c r="F11">
        <v>59.3</v>
      </c>
      <c r="G11">
        <v>59.48</v>
      </c>
      <c r="H11">
        <v>59.48</v>
      </c>
      <c r="I11">
        <v>59.48</v>
      </c>
    </row>
    <row r="12" spans="1:9" x14ac:dyDescent="0.3">
      <c r="B12" t="s">
        <v>13</v>
      </c>
      <c r="C12">
        <v>3.28</v>
      </c>
      <c r="D12" s="1">
        <v>3.12</v>
      </c>
      <c r="E12">
        <v>3.24</v>
      </c>
      <c r="F12">
        <v>3.25</v>
      </c>
      <c r="G12">
        <v>3.28</v>
      </c>
      <c r="H12">
        <v>3.28</v>
      </c>
      <c r="I12">
        <v>3.28</v>
      </c>
    </row>
    <row r="13" spans="1:9" x14ac:dyDescent="0.3">
      <c r="B13" t="s">
        <v>14</v>
      </c>
      <c r="C13">
        <v>49.03</v>
      </c>
      <c r="D13" s="1">
        <v>48.38</v>
      </c>
      <c r="E13">
        <v>48.38</v>
      </c>
      <c r="F13">
        <v>49.57</v>
      </c>
      <c r="G13">
        <v>49.03</v>
      </c>
      <c r="H13">
        <v>49.03</v>
      </c>
      <c r="I13">
        <v>49.03</v>
      </c>
    </row>
    <row r="14" spans="1:9" x14ac:dyDescent="0.3">
      <c r="B14" t="s">
        <v>15</v>
      </c>
      <c r="C14">
        <v>48.98</v>
      </c>
      <c r="D14" s="1">
        <v>46.43</v>
      </c>
      <c r="E14">
        <v>44.29</v>
      </c>
      <c r="F14">
        <v>51.43</v>
      </c>
      <c r="G14">
        <v>48.98</v>
      </c>
      <c r="H14">
        <v>48.98</v>
      </c>
      <c r="I14">
        <v>48.98</v>
      </c>
    </row>
    <row r="15" spans="1:9" x14ac:dyDescent="0.3">
      <c r="B15" t="s">
        <v>20</v>
      </c>
      <c r="C15">
        <v>0.2</v>
      </c>
      <c r="D15" s="1">
        <v>1.2</v>
      </c>
      <c r="E15">
        <v>0.5</v>
      </c>
      <c r="F15">
        <v>0.5</v>
      </c>
      <c r="G15">
        <v>0.3</v>
      </c>
      <c r="H15">
        <v>0.3</v>
      </c>
      <c r="I15">
        <v>0.3</v>
      </c>
    </row>
    <row r="16" spans="1:9" x14ac:dyDescent="0.3">
      <c r="A16" t="s">
        <v>17</v>
      </c>
      <c r="B16" t="s">
        <v>10</v>
      </c>
      <c r="C16" s="1">
        <v>71.09</v>
      </c>
      <c r="D16">
        <v>78.349999999999994</v>
      </c>
      <c r="E16">
        <v>85.47</v>
      </c>
      <c r="F16">
        <v>75.78</v>
      </c>
      <c r="G16">
        <v>77.16</v>
      </c>
      <c r="H16">
        <v>77.14</v>
      </c>
      <c r="I16">
        <v>73.239999999999995</v>
      </c>
    </row>
    <row r="17" spans="1:9" x14ac:dyDescent="0.3">
      <c r="B17" t="s">
        <v>11</v>
      </c>
      <c r="C17" s="1">
        <v>3.98</v>
      </c>
      <c r="D17">
        <v>4.33</v>
      </c>
      <c r="E17">
        <v>4.76</v>
      </c>
      <c r="F17">
        <v>4.3099999999999996</v>
      </c>
      <c r="G17">
        <v>4.29</v>
      </c>
      <c r="H17">
        <v>4.3499999999999996</v>
      </c>
      <c r="I17">
        <v>4.07</v>
      </c>
    </row>
    <row r="18" spans="1:9" x14ac:dyDescent="0.3">
      <c r="B18" t="s">
        <v>12</v>
      </c>
      <c r="C18" s="1">
        <v>53.78</v>
      </c>
      <c r="D18">
        <v>60.77</v>
      </c>
      <c r="E18">
        <v>67.62</v>
      </c>
      <c r="F18">
        <v>55.03</v>
      </c>
      <c r="G18">
        <v>59.06</v>
      </c>
      <c r="H18">
        <v>60.28</v>
      </c>
      <c r="I18">
        <v>57.18</v>
      </c>
    </row>
    <row r="19" spans="1:9" x14ac:dyDescent="0.3">
      <c r="B19" t="s">
        <v>13</v>
      </c>
      <c r="C19" s="1">
        <v>2.97</v>
      </c>
      <c r="D19">
        <v>3.34</v>
      </c>
      <c r="E19">
        <v>3.73</v>
      </c>
      <c r="F19">
        <v>3.04</v>
      </c>
      <c r="G19">
        <v>3.25</v>
      </c>
      <c r="H19">
        <v>3.33</v>
      </c>
      <c r="I19">
        <v>3.15</v>
      </c>
    </row>
    <row r="20" spans="1:9" x14ac:dyDescent="0.3">
      <c r="B20" t="s">
        <v>14</v>
      </c>
      <c r="C20" s="1">
        <v>49.09</v>
      </c>
      <c r="D20">
        <v>45.97</v>
      </c>
      <c r="E20">
        <v>49.19</v>
      </c>
      <c r="F20">
        <v>46.83</v>
      </c>
      <c r="G20">
        <v>49.52</v>
      </c>
      <c r="H20">
        <v>46.61</v>
      </c>
      <c r="I20">
        <v>52.09</v>
      </c>
    </row>
    <row r="21" spans="1:9" x14ac:dyDescent="0.3">
      <c r="B21" t="s">
        <v>15</v>
      </c>
      <c r="C21" s="1">
        <v>49.57</v>
      </c>
      <c r="D21">
        <v>46.45</v>
      </c>
      <c r="E21">
        <v>49.64</v>
      </c>
      <c r="F21">
        <v>47.19</v>
      </c>
      <c r="G21">
        <v>50</v>
      </c>
      <c r="H21">
        <v>47.01</v>
      </c>
      <c r="I21">
        <v>52.61</v>
      </c>
    </row>
    <row r="22" spans="1:9" x14ac:dyDescent="0.3">
      <c r="B22" t="s">
        <v>20</v>
      </c>
      <c r="C22" s="1">
        <v>38.799999999999997</v>
      </c>
      <c r="D22">
        <v>26.8</v>
      </c>
      <c r="E22">
        <v>18.8</v>
      </c>
      <c r="F22">
        <v>48.2</v>
      </c>
      <c r="G22">
        <v>36.9</v>
      </c>
      <c r="H22">
        <v>20.3</v>
      </c>
      <c r="I22">
        <v>34.1</v>
      </c>
    </row>
    <row r="23" spans="1:9" x14ac:dyDescent="0.3">
      <c r="A23" t="s">
        <v>18</v>
      </c>
      <c r="B23" t="s">
        <v>10</v>
      </c>
      <c r="C23" s="1">
        <v>70.37</v>
      </c>
      <c r="D23">
        <v>89.12</v>
      </c>
      <c r="E23">
        <v>92.47</v>
      </c>
      <c r="F23">
        <v>72.16</v>
      </c>
      <c r="G23">
        <v>78.81</v>
      </c>
      <c r="H23">
        <v>81.349999999999994</v>
      </c>
      <c r="I23">
        <v>75.010000000000005</v>
      </c>
    </row>
    <row r="24" spans="1:9" x14ac:dyDescent="0.3">
      <c r="B24" t="s">
        <v>11</v>
      </c>
      <c r="C24" s="1">
        <v>3.89</v>
      </c>
      <c r="D24">
        <v>4.9400000000000004</v>
      </c>
      <c r="E24">
        <v>5.08</v>
      </c>
      <c r="F24">
        <v>4.0999999999999996</v>
      </c>
      <c r="G24">
        <v>4.41</v>
      </c>
      <c r="H24">
        <v>4.53</v>
      </c>
      <c r="I24">
        <v>4.1500000000000004</v>
      </c>
    </row>
    <row r="25" spans="1:9" x14ac:dyDescent="0.3">
      <c r="B25" t="s">
        <v>12</v>
      </c>
      <c r="C25" s="1">
        <v>53.18</v>
      </c>
      <c r="D25">
        <v>71.17</v>
      </c>
      <c r="E25">
        <v>74.44</v>
      </c>
      <c r="F25">
        <v>56.27</v>
      </c>
      <c r="G25">
        <v>61.33</v>
      </c>
      <c r="H25">
        <v>62.2</v>
      </c>
      <c r="I25">
        <v>58.94</v>
      </c>
    </row>
    <row r="26" spans="1:9" x14ac:dyDescent="0.3">
      <c r="B26" t="s">
        <v>13</v>
      </c>
      <c r="C26" s="1">
        <v>2.92</v>
      </c>
      <c r="D26">
        <v>3.92</v>
      </c>
      <c r="E26">
        <v>4.08</v>
      </c>
      <c r="F26">
        <v>3.12</v>
      </c>
      <c r="G26">
        <v>3.38</v>
      </c>
      <c r="H26">
        <v>3.42</v>
      </c>
      <c r="I26">
        <v>3.24</v>
      </c>
    </row>
    <row r="27" spans="1:9" x14ac:dyDescent="0.3">
      <c r="B27" t="s">
        <v>14</v>
      </c>
      <c r="C27" s="1">
        <v>48.55</v>
      </c>
      <c r="D27">
        <v>51.77</v>
      </c>
      <c r="E27">
        <v>48.66</v>
      </c>
      <c r="F27">
        <v>48.76</v>
      </c>
      <c r="G27">
        <v>48.12</v>
      </c>
      <c r="H27">
        <v>48.55</v>
      </c>
      <c r="I27">
        <v>51.45</v>
      </c>
    </row>
    <row r="28" spans="1:9" x14ac:dyDescent="0.3">
      <c r="B28" t="s">
        <v>15</v>
      </c>
      <c r="C28" s="1">
        <v>49</v>
      </c>
      <c r="D28">
        <v>52.16</v>
      </c>
      <c r="E28">
        <v>49.1</v>
      </c>
      <c r="F28">
        <v>49.36</v>
      </c>
      <c r="G28">
        <v>48.64</v>
      </c>
      <c r="H28">
        <v>49.07</v>
      </c>
      <c r="I28">
        <v>51.79</v>
      </c>
    </row>
    <row r="29" spans="1:9" x14ac:dyDescent="0.3">
      <c r="B29" t="s">
        <v>20</v>
      </c>
      <c r="C29" s="1">
        <v>49.5</v>
      </c>
      <c r="D29">
        <v>35</v>
      </c>
      <c r="E29">
        <v>21.6</v>
      </c>
      <c r="F29">
        <v>46.5</v>
      </c>
      <c r="G29">
        <v>33.6</v>
      </c>
      <c r="H29">
        <v>18.399999999999999</v>
      </c>
      <c r="I29">
        <v>29.8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B55F-323A-418E-8F32-F52A29821ECA}">
  <dimension ref="A1:H5"/>
  <sheetViews>
    <sheetView workbookViewId="0">
      <selection activeCell="D9" sqref="D9"/>
    </sheetView>
  </sheetViews>
  <sheetFormatPr defaultRowHeight="14.4" x14ac:dyDescent="0.3"/>
  <cols>
    <col min="1" max="1" width="13.109375" bestFit="1" customWidth="1"/>
  </cols>
  <sheetData>
    <row r="1" spans="1:8" x14ac:dyDescent="0.3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20</v>
      </c>
    </row>
    <row r="2" spans="1:8" x14ac:dyDescent="0.3">
      <c r="A2" t="s">
        <v>9</v>
      </c>
      <c r="B2" s="1">
        <v>66.22</v>
      </c>
      <c r="C2" s="1">
        <v>3.46</v>
      </c>
      <c r="D2" s="1">
        <v>48.65</v>
      </c>
      <c r="E2" s="1">
        <v>2.58</v>
      </c>
      <c r="F2" s="1">
        <v>50.23</v>
      </c>
      <c r="G2" s="1">
        <v>49.81</v>
      </c>
      <c r="H2" s="1">
        <v>25.6</v>
      </c>
    </row>
    <row r="3" spans="1:8" x14ac:dyDescent="0.3">
      <c r="A3" t="s">
        <v>16</v>
      </c>
      <c r="B3">
        <v>75.64</v>
      </c>
      <c r="C3">
        <v>3.98</v>
      </c>
      <c r="D3">
        <v>57.62</v>
      </c>
      <c r="E3">
        <v>3.08</v>
      </c>
      <c r="F3">
        <v>50.41</v>
      </c>
      <c r="G3">
        <v>50</v>
      </c>
      <c r="H3">
        <v>1.5</v>
      </c>
    </row>
    <row r="4" spans="1:8" x14ac:dyDescent="0.3">
      <c r="A4" t="s">
        <v>17</v>
      </c>
      <c r="B4">
        <v>69.67</v>
      </c>
      <c r="C4">
        <v>3.74</v>
      </c>
      <c r="D4">
        <v>54.53</v>
      </c>
      <c r="E4">
        <v>2.94</v>
      </c>
      <c r="F4">
        <v>50.09</v>
      </c>
      <c r="G4">
        <v>49.5</v>
      </c>
      <c r="H4">
        <v>24.1</v>
      </c>
    </row>
    <row r="5" spans="1:8" x14ac:dyDescent="0.3">
      <c r="A5" t="s">
        <v>18</v>
      </c>
      <c r="B5">
        <v>72.010000000000005</v>
      </c>
      <c r="C5">
        <v>3.8</v>
      </c>
      <c r="D5">
        <v>55.52</v>
      </c>
      <c r="E5">
        <v>2.97</v>
      </c>
      <c r="F5">
        <v>50.27</v>
      </c>
      <c r="G5">
        <v>49.61</v>
      </c>
      <c r="H5">
        <v>39.5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36CD-078B-452A-AB5C-4D00B65C8CFB}">
  <dimension ref="A1:H5"/>
  <sheetViews>
    <sheetView workbookViewId="0">
      <selection activeCell="G19" sqref="G19"/>
    </sheetView>
  </sheetViews>
  <sheetFormatPr defaultRowHeight="14.4" x14ac:dyDescent="0.3"/>
  <cols>
    <col min="1" max="1" width="13.109375" bestFit="1" customWidth="1"/>
  </cols>
  <sheetData>
    <row r="1" spans="1:8" x14ac:dyDescent="0.3">
      <c r="A1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3">
      <c r="A2" t="s">
        <v>9</v>
      </c>
      <c r="B2">
        <v>1.32</v>
      </c>
      <c r="C2">
        <v>2.41</v>
      </c>
      <c r="D2">
        <v>3.11</v>
      </c>
      <c r="E2">
        <v>3.68</v>
      </c>
      <c r="F2">
        <v>4.1500000000000004</v>
      </c>
      <c r="G2">
        <v>4.58</v>
      </c>
      <c r="H2">
        <v>5</v>
      </c>
    </row>
    <row r="3" spans="1:8" x14ac:dyDescent="0.3">
      <c r="A3" t="s">
        <v>16</v>
      </c>
      <c r="B3">
        <v>2.59</v>
      </c>
      <c r="C3">
        <v>3.18</v>
      </c>
      <c r="D3">
        <v>3.61</v>
      </c>
      <c r="E3">
        <v>3.99</v>
      </c>
      <c r="F3">
        <v>4.43</v>
      </c>
      <c r="G3">
        <v>4.83</v>
      </c>
      <c r="H3">
        <v>5.23</v>
      </c>
    </row>
    <row r="4" spans="1:8" x14ac:dyDescent="0.3">
      <c r="A4" t="s">
        <v>17</v>
      </c>
      <c r="B4">
        <v>1.39</v>
      </c>
      <c r="C4">
        <v>2.46</v>
      </c>
      <c r="D4">
        <v>3.12</v>
      </c>
      <c r="E4">
        <v>3.72</v>
      </c>
      <c r="F4">
        <v>4.55</v>
      </c>
      <c r="G4">
        <v>5.2</v>
      </c>
      <c r="H4">
        <v>5.7</v>
      </c>
    </row>
    <row r="5" spans="1:8" x14ac:dyDescent="0.3">
      <c r="A5" t="s">
        <v>18</v>
      </c>
      <c r="B5">
        <v>1.46</v>
      </c>
      <c r="C5">
        <v>2.78</v>
      </c>
      <c r="D5">
        <v>3.29</v>
      </c>
      <c r="E5">
        <v>4.07</v>
      </c>
      <c r="F5">
        <v>4.59</v>
      </c>
      <c r="G5">
        <v>5.09</v>
      </c>
      <c r="H5">
        <v>5.28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C414-5CDE-428C-9140-5AD86DFCBE00}">
  <dimension ref="A1:I15"/>
  <sheetViews>
    <sheetView tabSelected="1" workbookViewId="0">
      <selection activeCell="M22" sqref="M22"/>
    </sheetView>
  </sheetViews>
  <sheetFormatPr defaultRowHeight="14.4" x14ac:dyDescent="0.3"/>
  <cols>
    <col min="2" max="2" width="13.109375" bestFit="1" customWidth="1"/>
    <col min="3" max="4" width="12" bestFit="1" customWidth="1"/>
  </cols>
  <sheetData>
    <row r="1" spans="1:9" x14ac:dyDescent="0.3">
      <c r="A1" t="s">
        <v>40</v>
      </c>
      <c r="B1" t="s">
        <v>41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</row>
    <row r="2" spans="1:9" x14ac:dyDescent="0.3">
      <c r="A2" t="s">
        <v>9</v>
      </c>
      <c r="B2" t="s">
        <v>42</v>
      </c>
      <c r="C2">
        <f>1.43052779856346E-13</f>
        <v>1.4305277985634599E-13</v>
      </c>
      <c r="D2">
        <f>5.56916223867609E-06</f>
        <v>5.5691622386760903E-6</v>
      </c>
      <c r="E2">
        <f>0.00749701305331545</f>
        <v>7.4970130533154504E-3</v>
      </c>
      <c r="F2">
        <f>0.175854670110083</f>
        <v>0.17585467011008299</v>
      </c>
      <c r="G2">
        <f>0.220694575440131</f>
        <v>0.22069457544013099</v>
      </c>
      <c r="H2">
        <f>0.660985855285918</f>
        <v>0.66098585528591802</v>
      </c>
      <c r="I2">
        <f>1.3017068880395</f>
        <v>1.3017068880395</v>
      </c>
    </row>
    <row r="3" spans="1:9" x14ac:dyDescent="0.3">
      <c r="A3" t="s">
        <v>9</v>
      </c>
      <c r="B3" t="s">
        <v>17</v>
      </c>
      <c r="C3">
        <f>0.024779960832675</f>
        <v>2.4779960832674999E-2</v>
      </c>
      <c r="D3">
        <f>2.9227508311847</f>
        <v>2.9227508311846999</v>
      </c>
      <c r="E3">
        <f>5.54343791141415</f>
        <v>5.5434379114141503</v>
      </c>
      <c r="F3">
        <f>1.29779606031866</f>
        <v>1.29779606031866</v>
      </c>
      <c r="G3">
        <f>0.0859049728071323</f>
        <v>8.5904972807132302E-2</v>
      </c>
      <c r="H3">
        <f>0.0261876294819578</f>
        <v>2.6187629481957801E-2</v>
      </c>
      <c r="I3">
        <f>0.035879068755026</f>
        <v>3.5879068755026E-2</v>
      </c>
    </row>
    <row r="4" spans="1:9" x14ac:dyDescent="0.3">
      <c r="A4" t="s">
        <v>9</v>
      </c>
      <c r="B4" t="s">
        <v>18</v>
      </c>
      <c r="C4">
        <f>0.00452173451588245</f>
        <v>4.5217345158824499E-3</v>
      </c>
      <c r="D4">
        <f>0.00532946265208466</f>
        <v>5.3294626520846598E-3</v>
      </c>
      <c r="E4">
        <f>0.398321045844796</f>
        <v>0.398321045844796</v>
      </c>
      <c r="F4">
        <f>0.0469534581262392</f>
        <v>4.6953458126239203E-2</v>
      </c>
      <c r="G4">
        <f>0.0875914514900922</f>
        <v>8.7591451490092204E-2</v>
      </c>
      <c r="H4">
        <f>0.0988084425436425</f>
        <v>9.8808442543642502E-2</v>
      </c>
      <c r="I4">
        <f>0.608825795909623</f>
        <v>0.60882579590962305</v>
      </c>
    </row>
    <row r="5" spans="1:9" x14ac:dyDescent="0.3">
      <c r="A5" t="s">
        <v>42</v>
      </c>
      <c r="B5" t="s">
        <v>17</v>
      </c>
      <c r="C5">
        <f>1.02751479692111E-12</f>
        <v>1.02751479692111E-12</v>
      </c>
      <c r="D5">
        <f>0.0000195416361235958</f>
        <v>1.95416361235958E-5</v>
      </c>
      <c r="E5">
        <f>0.0278194719467801</f>
        <v>2.7819471946780101E-2</v>
      </c>
      <c r="F5">
        <f>0.178210053109996</f>
        <v>0.17821005310999599</v>
      </c>
      <c r="G5">
        <f>4.01737969193896</f>
        <v>4.0173796919389604</v>
      </c>
      <c r="H5">
        <f>0.879021508403427</f>
        <v>0.87902150840342697</v>
      </c>
      <c r="I5">
        <f>0.40616259959707</f>
        <v>0.40616259959707002</v>
      </c>
    </row>
    <row r="6" spans="1:9" x14ac:dyDescent="0.3">
      <c r="A6" t="s">
        <v>42</v>
      </c>
      <c r="B6" t="s">
        <v>18</v>
      </c>
      <c r="C6">
        <f>2.0272052566425E-10</f>
        <v>2.0272052566425001E-10</v>
      </c>
      <c r="D6">
        <f>0.0562341184429276</f>
        <v>5.6234118442927597E-2</v>
      </c>
      <c r="E6">
        <f xml:space="preserve"> 0.0681323653459852</f>
        <v>6.8132365345985199E-2</v>
      </c>
      <c r="F6">
        <f>4.17946874805269</f>
        <v>4.17946874805269</v>
      </c>
      <c r="G6">
        <f>5.81127333443879</f>
        <v>5.8112733344387904</v>
      </c>
      <c r="H6">
        <f>3.67877227980428</f>
        <v>3.6787722798042801</v>
      </c>
      <c r="I6">
        <f>4.72749780534479</f>
        <v>4.7274978053447896</v>
      </c>
    </row>
    <row r="7" spans="1:9" x14ac:dyDescent="0.3">
      <c r="A7" t="s">
        <v>17</v>
      </c>
      <c r="B7" t="s">
        <v>18</v>
      </c>
      <c r="C7">
        <f>1.55777869015605</f>
        <v>1.55777869015605</v>
      </c>
      <c r="D7">
        <f>0.00176734961120771</f>
        <v>1.76734961120771E-3</v>
      </c>
      <c r="E7">
        <f>0.795528775403971</f>
        <v>0.79552877540397104</v>
      </c>
      <c r="F7">
        <f>0.00447032017590893</f>
        <v>4.4703201759089296E-3</v>
      </c>
      <c r="G7">
        <f>2.72815284056582</f>
        <v>2.7281528405658202</v>
      </c>
      <c r="H7">
        <f>0.249103593353787</f>
        <v>0.24910359335378701</v>
      </c>
      <c r="I7">
        <f xml:space="preserve"> 0.0313078280088118</f>
        <v>3.1307828008811801E-2</v>
      </c>
    </row>
    <row r="10" spans="1:9" x14ac:dyDescent="0.3">
      <c r="A10" t="s">
        <v>9</v>
      </c>
      <c r="B10" t="s">
        <v>42</v>
      </c>
      <c r="C10">
        <f>C2/6</f>
        <v>2.3842129976057665E-14</v>
      </c>
      <c r="D10">
        <f t="shared" ref="D10:I10" si="0">D2/6</f>
        <v>9.2819370644601504E-7</v>
      </c>
      <c r="E10">
        <f t="shared" si="0"/>
        <v>1.2495021755525751E-3</v>
      </c>
      <c r="F10">
        <f t="shared" si="0"/>
        <v>2.9309111685013833E-2</v>
      </c>
      <c r="G10">
        <f t="shared" si="0"/>
        <v>3.6782429240021834E-2</v>
      </c>
      <c r="H10">
        <f t="shared" si="0"/>
        <v>0.11016430921431968</v>
      </c>
      <c r="I10">
        <f t="shared" si="0"/>
        <v>0.21695114800658333</v>
      </c>
    </row>
    <row r="11" spans="1:9" x14ac:dyDescent="0.3">
      <c r="A11" t="s">
        <v>9</v>
      </c>
      <c r="B11" t="s">
        <v>17</v>
      </c>
      <c r="C11">
        <f t="shared" ref="C11:I11" si="1">C3/6</f>
        <v>4.1299934721124995E-3</v>
      </c>
      <c r="D11">
        <f t="shared" si="1"/>
        <v>0.48712513853078332</v>
      </c>
      <c r="E11">
        <f t="shared" si="1"/>
        <v>0.92390631856902505</v>
      </c>
      <c r="F11">
        <f t="shared" si="1"/>
        <v>0.21629934338644333</v>
      </c>
      <c r="G11">
        <f t="shared" si="1"/>
        <v>1.4317495467855384E-2</v>
      </c>
      <c r="H11">
        <f t="shared" si="1"/>
        <v>4.3646049136596334E-3</v>
      </c>
      <c r="I11">
        <f t="shared" si="1"/>
        <v>5.9798447925043336E-3</v>
      </c>
    </row>
    <row r="12" spans="1:9" x14ac:dyDescent="0.3">
      <c r="A12" t="s">
        <v>9</v>
      </c>
      <c r="B12" t="s">
        <v>18</v>
      </c>
      <c r="C12">
        <f t="shared" ref="C12:I12" si="2">C4/6</f>
        <v>7.5362241931374162E-4</v>
      </c>
      <c r="D12">
        <f t="shared" si="2"/>
        <v>8.882437753474433E-4</v>
      </c>
      <c r="E12">
        <f t="shared" si="2"/>
        <v>6.6386840974132666E-2</v>
      </c>
      <c r="F12">
        <f t="shared" si="2"/>
        <v>7.8255763543731999E-3</v>
      </c>
      <c r="G12">
        <f t="shared" si="2"/>
        <v>1.45985752483487E-2</v>
      </c>
      <c r="H12">
        <f t="shared" si="2"/>
        <v>1.646807375727375E-2</v>
      </c>
      <c r="I12">
        <f t="shared" si="2"/>
        <v>0.10147096598493717</v>
      </c>
    </row>
    <row r="13" spans="1:9" x14ac:dyDescent="0.3">
      <c r="A13" t="s">
        <v>42</v>
      </c>
      <c r="B13" t="s">
        <v>17</v>
      </c>
      <c r="C13">
        <f t="shared" ref="C13:I13" si="3">C5/6</f>
        <v>1.7125246615351834E-13</v>
      </c>
      <c r="D13">
        <f t="shared" si="3"/>
        <v>3.2569393539326333E-6</v>
      </c>
      <c r="E13">
        <f t="shared" si="3"/>
        <v>4.6365786577966831E-3</v>
      </c>
      <c r="F13">
        <f t="shared" si="3"/>
        <v>2.9701675518332665E-2</v>
      </c>
      <c r="G13">
        <f t="shared" si="3"/>
        <v>0.66956328198982673</v>
      </c>
      <c r="H13">
        <f t="shared" si="3"/>
        <v>0.14650358473390448</v>
      </c>
      <c r="I13">
        <f t="shared" si="3"/>
        <v>6.7693766599511665E-2</v>
      </c>
    </row>
    <row r="14" spans="1:9" x14ac:dyDescent="0.3">
      <c r="A14" t="s">
        <v>42</v>
      </c>
      <c r="B14" t="s">
        <v>18</v>
      </c>
      <c r="C14">
        <f t="shared" ref="C14:I14" si="4">C6/6</f>
        <v>3.3786754277374999E-11</v>
      </c>
      <c r="D14">
        <f t="shared" si="4"/>
        <v>9.3723530738212667E-3</v>
      </c>
      <c r="E14">
        <f t="shared" si="4"/>
        <v>1.1355394224330866E-2</v>
      </c>
      <c r="F14">
        <f t="shared" si="4"/>
        <v>0.69657812467544833</v>
      </c>
      <c r="G14">
        <f t="shared" si="4"/>
        <v>0.96854555573979839</v>
      </c>
      <c r="H14">
        <f t="shared" si="4"/>
        <v>0.61312871330071339</v>
      </c>
      <c r="I14">
        <f t="shared" si="4"/>
        <v>0.78791630089079823</v>
      </c>
    </row>
    <row r="15" spans="1:9" x14ac:dyDescent="0.3">
      <c r="A15" t="s">
        <v>17</v>
      </c>
      <c r="B15" t="s">
        <v>18</v>
      </c>
      <c r="C15">
        <f t="shared" ref="C15:I15" si="5">C7/6</f>
        <v>0.25962978169267498</v>
      </c>
      <c r="D15">
        <f t="shared" si="5"/>
        <v>2.9455826853461831E-4</v>
      </c>
      <c r="E15">
        <f t="shared" si="5"/>
        <v>0.13258812923399518</v>
      </c>
      <c r="F15">
        <f t="shared" si="5"/>
        <v>7.4505336265148824E-4</v>
      </c>
      <c r="G15">
        <f t="shared" si="5"/>
        <v>0.45469214009430337</v>
      </c>
      <c r="H15">
        <f t="shared" si="5"/>
        <v>4.1517265558964504E-2</v>
      </c>
      <c r="I15">
        <f t="shared" si="5"/>
        <v>5.2179713348019666E-3</v>
      </c>
    </row>
  </sheetData>
  <conditionalFormatting sqref="C2:I7">
    <cfRule type="cellIs" dxfId="6" priority="4" operator="lessThanOrEqual">
      <formula>0.05</formula>
    </cfRule>
    <cfRule type="cellIs" dxfId="5" priority="3" operator="greaterThan">
      <formula>0.05</formula>
    </cfRule>
  </conditionalFormatting>
  <conditionalFormatting sqref="C10:I15">
    <cfRule type="cellIs" dxfId="0" priority="2" operator="lessThanOrEqual">
      <formula>0.05</formula>
    </cfRule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63F6-B55A-4508-97A7-2800363FDEDB}">
  <dimension ref="A1:H5"/>
  <sheetViews>
    <sheetView workbookViewId="0">
      <selection activeCell="H5" sqref="A1:H5"/>
    </sheetView>
  </sheetViews>
  <sheetFormatPr defaultRowHeight="14.4" x14ac:dyDescent="0.3"/>
  <cols>
    <col min="1" max="1" width="13.109375" bestFit="1" customWidth="1"/>
  </cols>
  <sheetData>
    <row r="1" spans="1:8" x14ac:dyDescent="0.3">
      <c r="A1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3">
      <c r="A2" t="s">
        <v>9</v>
      </c>
      <c r="B2">
        <v>0.94</v>
      </c>
      <c r="C2">
        <v>1.73</v>
      </c>
      <c r="D2">
        <v>2.23</v>
      </c>
      <c r="E2">
        <v>2.73</v>
      </c>
      <c r="F2">
        <v>3.13</v>
      </c>
      <c r="G2">
        <v>3.47</v>
      </c>
      <c r="H2">
        <v>3.81</v>
      </c>
    </row>
    <row r="3" spans="1:8" x14ac:dyDescent="0.3">
      <c r="A3" t="s">
        <v>16</v>
      </c>
      <c r="B3">
        <v>2.06</v>
      </c>
      <c r="C3">
        <v>2.42</v>
      </c>
      <c r="D3">
        <v>2.74</v>
      </c>
      <c r="E3">
        <v>3.11</v>
      </c>
      <c r="F3">
        <v>3.46</v>
      </c>
      <c r="G3">
        <v>3.75</v>
      </c>
      <c r="H3">
        <v>4.03</v>
      </c>
    </row>
    <row r="4" spans="1:8" x14ac:dyDescent="0.3">
      <c r="A4" t="s">
        <v>17</v>
      </c>
      <c r="B4">
        <v>1.02</v>
      </c>
      <c r="C4">
        <v>1.78</v>
      </c>
      <c r="D4">
        <v>2.2599999999999998</v>
      </c>
      <c r="E4">
        <v>2.88</v>
      </c>
      <c r="F4">
        <v>3.68</v>
      </c>
      <c r="G4">
        <v>4.25</v>
      </c>
      <c r="H4">
        <v>4.71</v>
      </c>
    </row>
    <row r="5" spans="1:8" x14ac:dyDescent="0.3">
      <c r="A5" t="s">
        <v>18</v>
      </c>
      <c r="B5">
        <v>1.1499999999999999</v>
      </c>
      <c r="C5">
        <v>2.0699999999999998</v>
      </c>
      <c r="D5">
        <v>2.4500000000000002</v>
      </c>
      <c r="E5">
        <v>3.21</v>
      </c>
      <c r="F5">
        <v>3.63</v>
      </c>
      <c r="G5">
        <v>4.07</v>
      </c>
      <c r="H5">
        <v>4.1900000000000004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353F-F007-41F7-BCE9-A194991C7F05}">
  <dimension ref="A1:H5"/>
  <sheetViews>
    <sheetView workbookViewId="0">
      <selection activeCell="J19" sqref="J19"/>
    </sheetView>
  </sheetViews>
  <sheetFormatPr defaultRowHeight="14.4" x14ac:dyDescent="0.3"/>
  <sheetData>
    <row r="1" spans="1:8" x14ac:dyDescent="0.3">
      <c r="A1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3">
      <c r="A2" t="s">
        <v>9</v>
      </c>
      <c r="B2">
        <v>61.78</v>
      </c>
      <c r="C2">
        <v>45.22</v>
      </c>
      <c r="D2">
        <v>49.68</v>
      </c>
      <c r="E2">
        <v>50.32</v>
      </c>
      <c r="F2">
        <v>48.41</v>
      </c>
      <c r="G2">
        <v>46.5</v>
      </c>
      <c r="H2">
        <v>49.68</v>
      </c>
    </row>
    <row r="3" spans="1:8" x14ac:dyDescent="0.3">
      <c r="A3" t="s">
        <v>16</v>
      </c>
      <c r="B3">
        <v>56.69</v>
      </c>
      <c r="C3">
        <v>47.77</v>
      </c>
      <c r="D3">
        <v>49.68</v>
      </c>
      <c r="E3">
        <v>50.32</v>
      </c>
      <c r="F3">
        <v>48.41</v>
      </c>
      <c r="G3">
        <v>51.59</v>
      </c>
      <c r="H3">
        <v>48.41</v>
      </c>
    </row>
    <row r="4" spans="1:8" x14ac:dyDescent="0.3">
      <c r="A4" t="s">
        <v>17</v>
      </c>
      <c r="B4">
        <v>61.39</v>
      </c>
      <c r="C4">
        <v>45.57</v>
      </c>
      <c r="D4">
        <v>49.37</v>
      </c>
      <c r="E4">
        <v>48.73</v>
      </c>
      <c r="F4">
        <v>46.84</v>
      </c>
      <c r="G4">
        <v>46.84</v>
      </c>
      <c r="H4">
        <v>51.9</v>
      </c>
    </row>
    <row r="5" spans="1:8" x14ac:dyDescent="0.3">
      <c r="A5" t="s">
        <v>18</v>
      </c>
      <c r="B5">
        <v>65.19</v>
      </c>
      <c r="C5">
        <v>51.9</v>
      </c>
      <c r="D5">
        <v>48.73</v>
      </c>
      <c r="E5">
        <v>48.73</v>
      </c>
      <c r="F5">
        <v>47.47</v>
      </c>
      <c r="G5">
        <v>43.67</v>
      </c>
      <c r="H5">
        <v>46.2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9D08-B8EE-4C0D-A921-F0F12E921E00}">
  <dimension ref="A1:H5"/>
  <sheetViews>
    <sheetView workbookViewId="0">
      <selection activeCell="P19" sqref="P19"/>
    </sheetView>
  </sheetViews>
  <sheetFormatPr defaultRowHeight="14.4" x14ac:dyDescent="0.3"/>
  <cols>
    <col min="1" max="1" width="13.109375" bestFit="1" customWidth="1"/>
  </cols>
  <sheetData>
    <row r="1" spans="1:8" x14ac:dyDescent="0.3">
      <c r="A1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3">
      <c r="A2" t="s">
        <v>9</v>
      </c>
      <c r="B2">
        <v>61.84</v>
      </c>
      <c r="C2">
        <v>44.74</v>
      </c>
      <c r="D2">
        <v>48.68</v>
      </c>
      <c r="E2">
        <v>50</v>
      </c>
      <c r="F2">
        <v>48.68</v>
      </c>
      <c r="G2">
        <v>46.05</v>
      </c>
      <c r="H2">
        <v>48.68</v>
      </c>
    </row>
    <row r="3" spans="1:8" x14ac:dyDescent="0.3">
      <c r="A3" t="s">
        <v>16</v>
      </c>
      <c r="B3">
        <v>77.78</v>
      </c>
      <c r="C3">
        <v>38.89</v>
      </c>
      <c r="D3">
        <v>44.44</v>
      </c>
      <c r="E3">
        <v>50</v>
      </c>
      <c r="F3">
        <v>44.44</v>
      </c>
      <c r="G3">
        <v>55.56</v>
      </c>
      <c r="H3">
        <v>38.89</v>
      </c>
    </row>
    <row r="4" spans="1:8" x14ac:dyDescent="0.3">
      <c r="A4" t="s">
        <v>17</v>
      </c>
      <c r="B4">
        <v>61.33</v>
      </c>
      <c r="C4">
        <v>44.59</v>
      </c>
      <c r="D4">
        <v>48.68</v>
      </c>
      <c r="E4">
        <v>48.65</v>
      </c>
      <c r="F4">
        <v>46.58</v>
      </c>
      <c r="G4">
        <v>45.95</v>
      </c>
      <c r="H4">
        <v>50.68</v>
      </c>
    </row>
    <row r="5" spans="1:8" x14ac:dyDescent="0.3">
      <c r="A5" t="s">
        <v>18</v>
      </c>
      <c r="B5">
        <v>64.56</v>
      </c>
      <c r="C5">
        <v>51.31</v>
      </c>
      <c r="D5">
        <v>48.05</v>
      </c>
      <c r="E5">
        <v>48.72</v>
      </c>
      <c r="F5">
        <v>47.37</v>
      </c>
      <c r="G5">
        <v>42.67</v>
      </c>
      <c r="H5">
        <v>44.59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 Description</vt:lpstr>
      <vt:lpstr>Best Hyperparameters</vt:lpstr>
      <vt:lpstr>Validation</vt:lpstr>
      <vt:lpstr>Test</vt:lpstr>
      <vt:lpstr>RMSPE</vt:lpstr>
      <vt:lpstr>Wilcoxon rank-sum test for SE</vt:lpstr>
      <vt:lpstr>MAPE</vt:lpstr>
      <vt:lpstr>Accuracy</vt:lpstr>
      <vt:lpstr>Precision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Dhakan</dc:creator>
  <cp:lastModifiedBy>Raj Dhakan</cp:lastModifiedBy>
  <dcterms:created xsi:type="dcterms:W3CDTF">2025-08-17T12:22:33Z</dcterms:created>
  <dcterms:modified xsi:type="dcterms:W3CDTF">2025-08-24T21:35:06Z</dcterms:modified>
</cp:coreProperties>
</file>